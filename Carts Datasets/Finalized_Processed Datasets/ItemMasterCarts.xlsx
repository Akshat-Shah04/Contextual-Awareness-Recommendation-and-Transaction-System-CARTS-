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hi\Desktop\akshat\sem 7\Minor Project\Carts Datasets\"/>
    </mc:Choice>
  </mc:AlternateContent>
  <bookViews>
    <workbookView xWindow="0" yWindow="0" windowWidth="21268" windowHeight="796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2" i="1" l="1"/>
  <c r="H2" i="1"/>
  <c r="D3" i="1"/>
  <c r="G3" i="1" s="1"/>
  <c r="H3" i="1" s="1"/>
  <c r="D4" i="1"/>
  <c r="G4" i="1" s="1"/>
  <c r="H4" i="1" s="1"/>
  <c r="D5" i="1"/>
  <c r="G5" i="1" s="1"/>
  <c r="H5" i="1" s="1"/>
  <c r="D6" i="1"/>
  <c r="G6" i="1" s="1"/>
  <c r="H6" i="1" s="1"/>
  <c r="D7" i="1"/>
  <c r="G7" i="1" s="1"/>
  <c r="H7" i="1" s="1"/>
  <c r="D8" i="1"/>
  <c r="G8" i="1" s="1"/>
  <c r="H8" i="1" s="1"/>
  <c r="D9" i="1"/>
  <c r="G9" i="1" s="1"/>
  <c r="H9" i="1" s="1"/>
  <c r="D10" i="1"/>
  <c r="G10" i="1" s="1"/>
  <c r="H10" i="1" s="1"/>
  <c r="D11" i="1"/>
  <c r="G11" i="1" s="1"/>
  <c r="H11" i="1" s="1"/>
  <c r="D12" i="1"/>
  <c r="G12" i="1" s="1"/>
  <c r="H12" i="1" s="1"/>
  <c r="D13" i="1"/>
  <c r="G13" i="1" s="1"/>
  <c r="H13" i="1" s="1"/>
  <c r="D14" i="1"/>
  <c r="G14" i="1" s="1"/>
  <c r="H14" i="1" s="1"/>
  <c r="D15" i="1"/>
  <c r="G15" i="1" s="1"/>
  <c r="H15" i="1" s="1"/>
  <c r="D16" i="1"/>
  <c r="G16" i="1" s="1"/>
  <c r="H16" i="1" s="1"/>
  <c r="D17" i="1"/>
  <c r="G17" i="1" s="1"/>
  <c r="H17" i="1" s="1"/>
  <c r="D18" i="1"/>
  <c r="G18" i="1" s="1"/>
  <c r="H18" i="1" s="1"/>
  <c r="D19" i="1"/>
  <c r="G19" i="1" s="1"/>
  <c r="H19" i="1" s="1"/>
  <c r="D20" i="1"/>
  <c r="G20" i="1" s="1"/>
  <c r="H20" i="1" s="1"/>
  <c r="D21" i="1"/>
  <c r="G21" i="1" s="1"/>
  <c r="H21" i="1" s="1"/>
  <c r="D22" i="1"/>
  <c r="G22" i="1" s="1"/>
  <c r="H22" i="1" s="1"/>
  <c r="D23" i="1"/>
  <c r="G23" i="1" s="1"/>
  <c r="H23" i="1" s="1"/>
  <c r="D24" i="1"/>
  <c r="G24" i="1" s="1"/>
  <c r="H24" i="1" s="1"/>
  <c r="D25" i="1"/>
  <c r="G25" i="1" s="1"/>
  <c r="H25" i="1" s="1"/>
  <c r="D26" i="1"/>
  <c r="G26" i="1" s="1"/>
  <c r="H26" i="1" s="1"/>
  <c r="D27" i="1"/>
  <c r="G27" i="1" s="1"/>
  <c r="H27" i="1" s="1"/>
  <c r="D28" i="1"/>
  <c r="G28" i="1" s="1"/>
  <c r="H28" i="1" s="1"/>
  <c r="D29" i="1"/>
  <c r="G29" i="1" s="1"/>
  <c r="H29" i="1" s="1"/>
  <c r="D30" i="1"/>
  <c r="G30" i="1" s="1"/>
  <c r="H30" i="1" s="1"/>
  <c r="D31" i="1"/>
  <c r="G31" i="1" s="1"/>
  <c r="H31" i="1" s="1"/>
  <c r="D32" i="1"/>
  <c r="G32" i="1" s="1"/>
  <c r="H32" i="1" s="1"/>
  <c r="D33" i="1"/>
  <c r="G33" i="1" s="1"/>
  <c r="H33" i="1" s="1"/>
  <c r="D34" i="1"/>
  <c r="G34" i="1" s="1"/>
  <c r="H34" i="1" s="1"/>
  <c r="D35" i="1"/>
  <c r="G35" i="1" s="1"/>
  <c r="H35" i="1" s="1"/>
  <c r="D36" i="1"/>
  <c r="G36" i="1" s="1"/>
  <c r="H36" i="1" s="1"/>
  <c r="D37" i="1"/>
  <c r="G37" i="1" s="1"/>
  <c r="H37" i="1" s="1"/>
  <c r="D38" i="1"/>
  <c r="G38" i="1" s="1"/>
  <c r="H38" i="1" s="1"/>
  <c r="D39" i="1"/>
  <c r="G39" i="1" s="1"/>
  <c r="H39" i="1" s="1"/>
  <c r="D40" i="1"/>
  <c r="G40" i="1" s="1"/>
  <c r="H40" i="1" s="1"/>
  <c r="D41" i="1"/>
  <c r="G41" i="1" s="1"/>
  <c r="H41" i="1" s="1"/>
  <c r="D42" i="1"/>
  <c r="G42" i="1" s="1"/>
  <c r="H42" i="1" s="1"/>
  <c r="D43" i="1"/>
  <c r="G43" i="1" s="1"/>
  <c r="H43" i="1" s="1"/>
  <c r="D44" i="1"/>
  <c r="G44" i="1" s="1"/>
  <c r="H44" i="1" s="1"/>
  <c r="D45" i="1"/>
  <c r="G45" i="1" s="1"/>
  <c r="H45" i="1" s="1"/>
  <c r="D46" i="1"/>
  <c r="G46" i="1" s="1"/>
  <c r="H46" i="1" s="1"/>
  <c r="D47" i="1"/>
  <c r="G47" i="1" s="1"/>
  <c r="H47" i="1" s="1"/>
  <c r="D48" i="1"/>
  <c r="G48" i="1" s="1"/>
  <c r="H48" i="1" s="1"/>
  <c r="D49" i="1"/>
  <c r="G49" i="1" s="1"/>
  <c r="H49" i="1" s="1"/>
  <c r="D50" i="1"/>
  <c r="G50" i="1" s="1"/>
  <c r="H50" i="1" s="1"/>
  <c r="D51" i="1"/>
  <c r="G51" i="1" s="1"/>
  <c r="H51" i="1" s="1"/>
  <c r="D52" i="1"/>
  <c r="G52" i="1" s="1"/>
  <c r="H52" i="1" s="1"/>
  <c r="D53" i="1"/>
  <c r="G53" i="1" s="1"/>
  <c r="H53" i="1" s="1"/>
  <c r="D54" i="1"/>
  <c r="G54" i="1" s="1"/>
  <c r="H54" i="1" s="1"/>
  <c r="D55" i="1"/>
  <c r="G55" i="1" s="1"/>
  <c r="H55" i="1" s="1"/>
  <c r="D56" i="1"/>
  <c r="G56" i="1" s="1"/>
  <c r="H56" i="1" s="1"/>
  <c r="D57" i="1"/>
  <c r="G57" i="1" s="1"/>
  <c r="H57" i="1" s="1"/>
  <c r="D58" i="1"/>
  <c r="G58" i="1" s="1"/>
  <c r="H58" i="1" s="1"/>
  <c r="D59" i="1"/>
  <c r="G59" i="1" s="1"/>
  <c r="H59" i="1" s="1"/>
  <c r="D60" i="1"/>
  <c r="G60" i="1" s="1"/>
  <c r="H60" i="1" s="1"/>
  <c r="D61" i="1"/>
  <c r="G61" i="1" s="1"/>
  <c r="H61" i="1" s="1"/>
  <c r="D62" i="1"/>
  <c r="G62" i="1" s="1"/>
  <c r="H62" i="1" s="1"/>
  <c r="D63" i="1"/>
  <c r="G63" i="1" s="1"/>
  <c r="H63" i="1" s="1"/>
  <c r="D64" i="1"/>
  <c r="G64" i="1" s="1"/>
  <c r="H64" i="1" s="1"/>
  <c r="D65" i="1"/>
  <c r="G65" i="1" s="1"/>
  <c r="H65" i="1" s="1"/>
  <c r="D66" i="1"/>
  <c r="G66" i="1" s="1"/>
  <c r="H66" i="1" s="1"/>
  <c r="D67" i="1"/>
  <c r="G67" i="1" s="1"/>
  <c r="H67" i="1" s="1"/>
  <c r="D68" i="1"/>
  <c r="G68" i="1" s="1"/>
  <c r="H68" i="1" s="1"/>
  <c r="D69" i="1"/>
  <c r="G69" i="1" s="1"/>
  <c r="H69" i="1" s="1"/>
  <c r="D70" i="1"/>
  <c r="G70" i="1" s="1"/>
  <c r="H70" i="1" s="1"/>
  <c r="D71" i="1"/>
  <c r="G71" i="1" s="1"/>
  <c r="H71" i="1" s="1"/>
  <c r="D72" i="1"/>
  <c r="G72" i="1" s="1"/>
  <c r="H72" i="1" s="1"/>
  <c r="D73" i="1"/>
  <c r="G73" i="1" s="1"/>
  <c r="H73" i="1" s="1"/>
  <c r="D74" i="1"/>
  <c r="G74" i="1" s="1"/>
  <c r="H74" i="1" s="1"/>
  <c r="D75" i="1"/>
  <c r="G75" i="1" s="1"/>
  <c r="H75" i="1" s="1"/>
  <c r="D76" i="1"/>
  <c r="G76" i="1" s="1"/>
  <c r="H76" i="1" s="1"/>
  <c r="D77" i="1"/>
  <c r="G77" i="1" s="1"/>
  <c r="H77" i="1" s="1"/>
  <c r="D78" i="1"/>
  <c r="G78" i="1" s="1"/>
  <c r="H78" i="1" s="1"/>
  <c r="D79" i="1"/>
  <c r="G79" i="1" s="1"/>
  <c r="H79" i="1" s="1"/>
  <c r="D80" i="1"/>
  <c r="G80" i="1" s="1"/>
  <c r="H80" i="1" s="1"/>
  <c r="D81" i="1"/>
  <c r="G81" i="1" s="1"/>
  <c r="H81" i="1" s="1"/>
  <c r="D82" i="1"/>
  <c r="G82" i="1" s="1"/>
  <c r="H82" i="1" s="1"/>
  <c r="D83" i="1"/>
  <c r="G83" i="1" s="1"/>
  <c r="H83" i="1" s="1"/>
  <c r="D84" i="1"/>
  <c r="G84" i="1" s="1"/>
  <c r="H84" i="1" s="1"/>
  <c r="D85" i="1"/>
  <c r="G85" i="1" s="1"/>
  <c r="H85" i="1" s="1"/>
  <c r="D86" i="1"/>
  <c r="G86" i="1" s="1"/>
  <c r="H86" i="1" s="1"/>
  <c r="D87" i="1"/>
  <c r="G87" i="1" s="1"/>
  <c r="H87" i="1" s="1"/>
  <c r="D88" i="1"/>
  <c r="G88" i="1" s="1"/>
  <c r="H88" i="1" s="1"/>
  <c r="D89" i="1"/>
  <c r="G89" i="1" s="1"/>
  <c r="H89" i="1" s="1"/>
  <c r="D90" i="1"/>
  <c r="G90" i="1" s="1"/>
  <c r="H90" i="1" s="1"/>
  <c r="D91" i="1"/>
  <c r="G91" i="1" s="1"/>
  <c r="H91" i="1" s="1"/>
  <c r="D2" i="1"/>
</calcChain>
</file>

<file path=xl/sharedStrings.xml><?xml version="1.0" encoding="utf-8"?>
<sst xmlns="http://schemas.openxmlformats.org/spreadsheetml/2006/main" count="188" uniqueCount="127">
  <si>
    <t>Item Names</t>
  </si>
  <si>
    <t>Total</t>
  </si>
  <si>
    <t>Apples</t>
  </si>
  <si>
    <t>Apples Juice</t>
  </si>
  <si>
    <t>Baking Powder</t>
  </si>
  <si>
    <t>Bananas</t>
  </si>
  <si>
    <t>Beans</t>
  </si>
  <si>
    <t>Beetroot</t>
  </si>
  <si>
    <t>Berries</t>
  </si>
  <si>
    <t>Blueberry</t>
  </si>
  <si>
    <t>Bottled Water</t>
  </si>
  <si>
    <t>Bread</t>
  </si>
  <si>
    <t>Brocolli</t>
  </si>
  <si>
    <t>Buns</t>
  </si>
  <si>
    <t>Butter</t>
  </si>
  <si>
    <t>Butter Milk</t>
  </si>
  <si>
    <t>Cabbage</t>
  </si>
  <si>
    <t>Cake Bar</t>
  </si>
  <si>
    <t>Carrot</t>
  </si>
  <si>
    <t>Cauliflower</t>
  </si>
  <si>
    <t>Cheese</t>
  </si>
  <si>
    <t>Cherry</t>
  </si>
  <si>
    <t>Chewing Gum</t>
  </si>
  <si>
    <t>Chips</t>
  </si>
  <si>
    <t>Chocolate</t>
  </si>
  <si>
    <t>Coca Cola</t>
  </si>
  <si>
    <t>Coconut Juice</t>
  </si>
  <si>
    <t>Coffee</t>
  </si>
  <si>
    <t>Cookies</t>
  </si>
  <si>
    <t>Corn</t>
  </si>
  <si>
    <t>Curd</t>
  </si>
  <si>
    <t>Dragon Fruit</t>
  </si>
  <si>
    <t>Flour</t>
  </si>
  <si>
    <t>Frozen Meals</t>
  </si>
  <si>
    <t>Frozen Vegetables</t>
  </si>
  <si>
    <t>Garlic</t>
  </si>
  <si>
    <t>Ghee</t>
  </si>
  <si>
    <t>Ginger</t>
  </si>
  <si>
    <t>Grapes</t>
  </si>
  <si>
    <t>Green Chilli</t>
  </si>
  <si>
    <t>Guava</t>
  </si>
  <si>
    <t>Herbs</t>
  </si>
  <si>
    <t>Ice Cream</t>
  </si>
  <si>
    <t>Instant Noodles</t>
  </si>
  <si>
    <t>Jam</t>
  </si>
  <si>
    <t>Ketchup</t>
  </si>
  <si>
    <t>Kitchen Towels</t>
  </si>
  <si>
    <t>Ladyfinger</t>
  </si>
  <si>
    <t>Lemon</t>
  </si>
  <si>
    <t>Mango</t>
  </si>
  <si>
    <t>Milk</t>
  </si>
  <si>
    <t>Mixed Fruit Juice</t>
  </si>
  <si>
    <t>Mustard</t>
  </si>
  <si>
    <t>Napkins</t>
  </si>
  <si>
    <t>Nuts</t>
  </si>
  <si>
    <t>Oil</t>
  </si>
  <si>
    <t>Onions</t>
  </si>
  <si>
    <t>Oranges</t>
  </si>
  <si>
    <t>Organic Products</t>
  </si>
  <si>
    <t>Packaged Fruit/Vegetables</t>
  </si>
  <si>
    <t>Paneer</t>
  </si>
  <si>
    <t>Pasta</t>
  </si>
  <si>
    <t>Pastry</t>
  </si>
  <si>
    <t>Pepsi</t>
  </si>
  <si>
    <t>Pet Food</t>
  </si>
  <si>
    <t>Pickled Vegetables</t>
  </si>
  <si>
    <t>Potato</t>
  </si>
  <si>
    <t>Pudding Powder</t>
  </si>
  <si>
    <t>Red Bull Drink</t>
  </si>
  <si>
    <t>Red Chilli Powder</t>
  </si>
  <si>
    <t>Rice</t>
  </si>
  <si>
    <t>Salt</t>
  </si>
  <si>
    <t>Sanitizer</t>
  </si>
  <si>
    <t>Sauces</t>
  </si>
  <si>
    <t>Shopping Bags</t>
  </si>
  <si>
    <t>Snack Products</t>
  </si>
  <si>
    <t>Snacks</t>
  </si>
  <si>
    <t>Soda</t>
  </si>
  <si>
    <t>Soups</t>
  </si>
  <si>
    <t>Sour Cream</t>
  </si>
  <si>
    <t>Spices</t>
  </si>
  <si>
    <t>Spread Cheese</t>
  </si>
  <si>
    <t>Strawberry</t>
  </si>
  <si>
    <t>Sugar</t>
  </si>
  <si>
    <t>Tea</t>
  </si>
  <si>
    <t>Tomato</t>
  </si>
  <si>
    <t>Tonic Water</t>
  </si>
  <si>
    <t>Tumeric Powder</t>
  </si>
  <si>
    <t>Vinegar</t>
  </si>
  <si>
    <t>Waffles</t>
  </si>
  <si>
    <t>Yogurt</t>
  </si>
  <si>
    <t>Cost Price (C.P)</t>
  </si>
  <si>
    <t>Selling Price (S.P.)</t>
  </si>
  <si>
    <t>Profit Percentage</t>
  </si>
  <si>
    <t>Margin (in Rs)</t>
  </si>
  <si>
    <t>Margin (in %)</t>
  </si>
  <si>
    <t>Weight/Number</t>
  </si>
  <si>
    <t>1kg</t>
  </si>
  <si>
    <t>1L</t>
  </si>
  <si>
    <t>100g</t>
  </si>
  <si>
    <t>1  Dozen</t>
  </si>
  <si>
    <t>500g</t>
  </si>
  <si>
    <t>250g</t>
  </si>
  <si>
    <t>1Kg</t>
  </si>
  <si>
    <t>1Pk</t>
  </si>
  <si>
    <t>Bottleguard(Dudhi)</t>
  </si>
  <si>
    <t>2Pc</t>
  </si>
  <si>
    <t>4Pc</t>
  </si>
  <si>
    <t>200g</t>
  </si>
  <si>
    <t>1Pc</t>
  </si>
  <si>
    <t>15Pc</t>
  </si>
  <si>
    <t>100ml</t>
  </si>
  <si>
    <t>1Pck</t>
  </si>
  <si>
    <t>400g</t>
  </si>
  <si>
    <t>1 Meal</t>
  </si>
  <si>
    <t>5kg</t>
  </si>
  <si>
    <t>3kg</t>
  </si>
  <si>
    <t>12Pc</t>
  </si>
  <si>
    <t>1Dozen</t>
  </si>
  <si>
    <t>500ml</t>
  </si>
  <si>
    <t>1Set</t>
  </si>
  <si>
    <t>5L</t>
  </si>
  <si>
    <t>250ml</t>
  </si>
  <si>
    <t>200ml</t>
  </si>
  <si>
    <t>12Pck</t>
  </si>
  <si>
    <t>1 Pck</t>
  </si>
  <si>
    <t>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</si>
</sst>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topLeftCell="A68" workbookViewId="0">
      <selection activeCell="F87" sqref="F87"/>
    </sheetView>
  </sheetViews>
  <sheetFormatPr defaultRowHeight="14.4" x14ac:dyDescent="0.3"/>
  <cols>
    <col min="1" max="1" width="25" customWidth="1"/>
    <col min="2" max="2" width="17.59765625" customWidth="1"/>
    <col min="3" max="3" width="22.09765625" customWidth="1"/>
    <col min="4" max="4" width="21.796875" customWidth="1"/>
    <col min="5" max="5" width="24" customWidth="1"/>
    <col min="6" max="6" width="18" customWidth="1"/>
    <col min="7" max="7" width="14.69921875" customWidth="1"/>
    <col min="8" max="8" width="17.296875" customWidth="1"/>
  </cols>
  <sheetData>
    <row r="1" spans="1:8" x14ac:dyDescent="0.3">
      <c r="A1" s="1" t="s">
        <v>0</v>
      </c>
      <c r="B1" s="4" t="s">
        <v>96</v>
      </c>
      <c r="C1" s="1" t="s">
        <v>1</v>
      </c>
      <c r="D1" s="2" t="s">
        <v>91</v>
      </c>
      <c r="E1" s="2" t="s">
        <v>92</v>
      </c>
      <c r="F1" s="2" t="s">
        <v>93</v>
      </c>
      <c r="G1" s="2" t="s">
        <v>94</v>
      </c>
      <c r="H1" s="3" t="s">
        <v>95</v>
      </c>
    </row>
    <row r="2" spans="1:8" x14ac:dyDescent="0.3">
      <c r="A2" t="s">
        <v>2</v>
      </c>
      <c r="B2" t="s">
        <v>97</v>
      </c>
      <c r="C2">
        <v>746</v>
      </c>
      <c r="D2">
        <f xml:space="preserve"> ROUND(E2 * 100 / (100 + F2), 2)</f>
        <v>141.66999999999999</v>
      </c>
      <c r="E2">
        <v>170</v>
      </c>
      <c r="F2">
        <v>20</v>
      </c>
      <c r="G2">
        <f xml:space="preserve"> ROUND(E2 - D2, 2)</f>
        <v>28.33</v>
      </c>
      <c r="H2">
        <f xml:space="preserve"> G2 / E2 * 100</f>
        <v>16.664705882352941</v>
      </c>
    </row>
    <row r="3" spans="1:8" x14ac:dyDescent="0.3">
      <c r="A3" t="s">
        <v>3</v>
      </c>
      <c r="B3" t="s">
        <v>98</v>
      </c>
      <c r="C3">
        <v>42</v>
      </c>
      <c r="D3">
        <f t="shared" ref="D3:D66" si="0" xml:space="preserve"> ROUND(E3 * 100 / (100 + F3), 2)</f>
        <v>83.33</v>
      </c>
      <c r="E3">
        <v>110</v>
      </c>
      <c r="F3">
        <v>32</v>
      </c>
      <c r="G3">
        <f t="shared" ref="G3:G66" si="1" xml:space="preserve"> ROUND(E3 - D3, 2)</f>
        <v>26.67</v>
      </c>
      <c r="H3">
        <f t="shared" ref="H3:H66" si="2" xml:space="preserve"> G3 / E3 * 100</f>
        <v>24.24545454545455</v>
      </c>
    </row>
    <row r="4" spans="1:8" x14ac:dyDescent="0.3">
      <c r="A4" t="s">
        <v>4</v>
      </c>
      <c r="B4" t="s">
        <v>99</v>
      </c>
      <c r="C4">
        <v>174</v>
      </c>
      <c r="D4">
        <f t="shared" si="0"/>
        <v>29.91</v>
      </c>
      <c r="E4">
        <v>35</v>
      </c>
      <c r="F4">
        <v>17</v>
      </c>
      <c r="G4">
        <f t="shared" si="1"/>
        <v>5.09</v>
      </c>
      <c r="H4">
        <f t="shared" si="2"/>
        <v>14.542857142857143</v>
      </c>
    </row>
    <row r="5" spans="1:8" x14ac:dyDescent="0.3">
      <c r="A5" t="s">
        <v>5</v>
      </c>
      <c r="B5" t="s">
        <v>100</v>
      </c>
      <c r="C5">
        <v>95</v>
      </c>
      <c r="D5">
        <f t="shared" si="0"/>
        <v>62.5</v>
      </c>
      <c r="E5">
        <v>80</v>
      </c>
      <c r="F5">
        <v>28</v>
      </c>
      <c r="G5">
        <f t="shared" si="1"/>
        <v>17.5</v>
      </c>
      <c r="H5">
        <f t="shared" si="2"/>
        <v>21.875</v>
      </c>
    </row>
    <row r="6" spans="1:8" x14ac:dyDescent="0.3">
      <c r="A6" t="s">
        <v>6</v>
      </c>
      <c r="B6" t="s">
        <v>101</v>
      </c>
      <c r="C6">
        <v>255</v>
      </c>
      <c r="D6">
        <f t="shared" si="0"/>
        <v>80</v>
      </c>
      <c r="E6">
        <v>100</v>
      </c>
      <c r="F6">
        <v>25</v>
      </c>
      <c r="G6">
        <f t="shared" si="1"/>
        <v>20</v>
      </c>
      <c r="H6">
        <f t="shared" si="2"/>
        <v>20</v>
      </c>
    </row>
    <row r="7" spans="1:8" x14ac:dyDescent="0.3">
      <c r="A7" t="s">
        <v>7</v>
      </c>
      <c r="B7" t="s">
        <v>101</v>
      </c>
      <c r="C7">
        <v>55</v>
      </c>
      <c r="D7">
        <f t="shared" si="0"/>
        <v>24.49</v>
      </c>
      <c r="E7">
        <v>30</v>
      </c>
      <c r="F7">
        <v>22.5</v>
      </c>
      <c r="G7">
        <f t="shared" si="1"/>
        <v>5.51</v>
      </c>
      <c r="H7">
        <f t="shared" si="2"/>
        <v>18.366666666666667</v>
      </c>
    </row>
    <row r="8" spans="1:8" x14ac:dyDescent="0.3">
      <c r="A8" t="s">
        <v>8</v>
      </c>
      <c r="B8" t="s">
        <v>99</v>
      </c>
      <c r="C8">
        <v>327</v>
      </c>
      <c r="D8">
        <f t="shared" si="0"/>
        <v>176.92</v>
      </c>
      <c r="E8">
        <v>230</v>
      </c>
      <c r="F8">
        <v>30</v>
      </c>
      <c r="G8">
        <f t="shared" si="1"/>
        <v>53.08</v>
      </c>
      <c r="H8">
        <f t="shared" si="2"/>
        <v>23.078260869565216</v>
      </c>
    </row>
    <row r="9" spans="1:8" x14ac:dyDescent="0.3">
      <c r="A9" t="s">
        <v>9</v>
      </c>
      <c r="B9" t="s">
        <v>101</v>
      </c>
      <c r="C9">
        <v>58</v>
      </c>
      <c r="D9">
        <f t="shared" si="0"/>
        <v>320</v>
      </c>
      <c r="E9">
        <v>400</v>
      </c>
      <c r="F9">
        <v>25</v>
      </c>
      <c r="G9">
        <f t="shared" si="1"/>
        <v>80</v>
      </c>
      <c r="H9">
        <f t="shared" si="2"/>
        <v>20</v>
      </c>
    </row>
    <row r="10" spans="1:8" x14ac:dyDescent="0.3">
      <c r="A10" t="s">
        <v>10</v>
      </c>
      <c r="B10" t="s">
        <v>98</v>
      </c>
      <c r="C10">
        <v>1087</v>
      </c>
      <c r="D10">
        <f t="shared" si="0"/>
        <v>11.76</v>
      </c>
      <c r="E10">
        <v>20</v>
      </c>
      <c r="F10">
        <v>70</v>
      </c>
      <c r="G10">
        <f t="shared" si="1"/>
        <v>8.24</v>
      </c>
      <c r="H10">
        <f t="shared" si="2"/>
        <v>41.2</v>
      </c>
    </row>
    <row r="11" spans="1:8" x14ac:dyDescent="0.3">
      <c r="A11" t="s">
        <v>105</v>
      </c>
      <c r="B11" t="s">
        <v>103</v>
      </c>
      <c r="C11">
        <v>81</v>
      </c>
      <c r="D11">
        <f t="shared" si="0"/>
        <v>24.19</v>
      </c>
      <c r="E11">
        <v>30</v>
      </c>
      <c r="F11">
        <v>24</v>
      </c>
      <c r="G11">
        <f t="shared" si="1"/>
        <v>5.81</v>
      </c>
      <c r="H11">
        <f t="shared" si="2"/>
        <v>19.366666666666667</v>
      </c>
    </row>
    <row r="12" spans="1:8" x14ac:dyDescent="0.3">
      <c r="A12" t="s">
        <v>11</v>
      </c>
      <c r="B12" t="s">
        <v>104</v>
      </c>
      <c r="C12">
        <v>1807</v>
      </c>
      <c r="D12">
        <f t="shared" si="0"/>
        <v>40.74</v>
      </c>
      <c r="E12">
        <v>55</v>
      </c>
      <c r="F12">
        <v>35</v>
      </c>
      <c r="G12">
        <f t="shared" si="1"/>
        <v>14.26</v>
      </c>
      <c r="H12">
        <f t="shared" si="2"/>
        <v>25.927272727272726</v>
      </c>
    </row>
    <row r="13" spans="1:8" x14ac:dyDescent="0.3">
      <c r="A13" t="s">
        <v>12</v>
      </c>
      <c r="B13" t="s">
        <v>102</v>
      </c>
      <c r="C13">
        <v>222</v>
      </c>
      <c r="D13">
        <f t="shared" si="0"/>
        <v>33.9</v>
      </c>
      <c r="E13">
        <v>40</v>
      </c>
      <c r="F13">
        <v>18</v>
      </c>
      <c r="G13">
        <f t="shared" si="1"/>
        <v>6.1</v>
      </c>
      <c r="H13">
        <f t="shared" si="2"/>
        <v>15.25</v>
      </c>
    </row>
    <row r="14" spans="1:8" x14ac:dyDescent="0.3">
      <c r="A14" t="s">
        <v>13</v>
      </c>
      <c r="B14" t="s">
        <v>107</v>
      </c>
      <c r="C14">
        <v>2136</v>
      </c>
      <c r="D14">
        <f t="shared" si="0"/>
        <v>38</v>
      </c>
      <c r="E14">
        <v>50</v>
      </c>
      <c r="F14">
        <v>31.58</v>
      </c>
      <c r="G14">
        <f t="shared" si="1"/>
        <v>12</v>
      </c>
      <c r="H14">
        <f t="shared" si="2"/>
        <v>24</v>
      </c>
    </row>
    <row r="15" spans="1:8" x14ac:dyDescent="0.3">
      <c r="A15" t="s">
        <v>14</v>
      </c>
      <c r="B15" t="s">
        <v>99</v>
      </c>
      <c r="C15">
        <v>545</v>
      </c>
      <c r="D15">
        <f t="shared" si="0"/>
        <v>40</v>
      </c>
      <c r="E15">
        <v>60</v>
      </c>
      <c r="F15">
        <v>50</v>
      </c>
      <c r="G15">
        <f t="shared" si="1"/>
        <v>20</v>
      </c>
      <c r="H15">
        <f t="shared" si="2"/>
        <v>33.333333333333329</v>
      </c>
    </row>
    <row r="16" spans="1:8" x14ac:dyDescent="0.3">
      <c r="A16" t="s">
        <v>15</v>
      </c>
      <c r="B16" t="s">
        <v>98</v>
      </c>
      <c r="C16">
        <v>275</v>
      </c>
      <c r="D16">
        <f t="shared" si="0"/>
        <v>50.68</v>
      </c>
      <c r="E16">
        <v>75</v>
      </c>
      <c r="F16">
        <v>48</v>
      </c>
      <c r="G16">
        <f t="shared" si="1"/>
        <v>24.32</v>
      </c>
      <c r="H16">
        <f t="shared" si="2"/>
        <v>32.426666666666662</v>
      </c>
    </row>
    <row r="17" spans="1:8" x14ac:dyDescent="0.3">
      <c r="A17" t="s">
        <v>16</v>
      </c>
      <c r="B17" t="s">
        <v>103</v>
      </c>
      <c r="C17">
        <v>424</v>
      </c>
      <c r="D17">
        <f t="shared" si="0"/>
        <v>33.200000000000003</v>
      </c>
      <c r="E17">
        <v>40</v>
      </c>
      <c r="F17">
        <v>20.5</v>
      </c>
      <c r="G17">
        <f t="shared" si="1"/>
        <v>6.8</v>
      </c>
      <c r="H17">
        <f t="shared" si="2"/>
        <v>17</v>
      </c>
    </row>
    <row r="18" spans="1:8" x14ac:dyDescent="0.3">
      <c r="A18" t="s">
        <v>17</v>
      </c>
      <c r="B18" t="s">
        <v>99</v>
      </c>
      <c r="C18">
        <v>130</v>
      </c>
      <c r="D18">
        <f t="shared" si="0"/>
        <v>30.77</v>
      </c>
      <c r="E18">
        <v>40</v>
      </c>
      <c r="F18">
        <v>30</v>
      </c>
      <c r="G18">
        <f t="shared" si="1"/>
        <v>9.23</v>
      </c>
      <c r="H18">
        <f t="shared" si="2"/>
        <v>23.075000000000003</v>
      </c>
    </row>
    <row r="19" spans="1:8" x14ac:dyDescent="0.3">
      <c r="A19" t="s">
        <v>18</v>
      </c>
      <c r="B19" t="s">
        <v>102</v>
      </c>
      <c r="C19">
        <v>593</v>
      </c>
      <c r="D19">
        <f t="shared" si="0"/>
        <v>25.42</v>
      </c>
      <c r="E19">
        <v>30</v>
      </c>
      <c r="F19">
        <v>18</v>
      </c>
      <c r="G19">
        <f t="shared" si="1"/>
        <v>4.58</v>
      </c>
      <c r="H19">
        <f t="shared" si="2"/>
        <v>15.266666666666667</v>
      </c>
    </row>
    <row r="20" spans="1:8" x14ac:dyDescent="0.3">
      <c r="A20" t="s">
        <v>19</v>
      </c>
      <c r="B20" t="s">
        <v>101</v>
      </c>
      <c r="C20">
        <v>1903</v>
      </c>
      <c r="D20">
        <f t="shared" si="0"/>
        <v>29.66</v>
      </c>
      <c r="E20">
        <v>35</v>
      </c>
      <c r="F20">
        <v>18</v>
      </c>
      <c r="G20">
        <f t="shared" si="1"/>
        <v>5.34</v>
      </c>
      <c r="H20">
        <f t="shared" si="2"/>
        <v>15.257142857142858</v>
      </c>
    </row>
    <row r="21" spans="1:8" x14ac:dyDescent="0.3">
      <c r="A21" t="s">
        <v>20</v>
      </c>
      <c r="B21" t="s">
        <v>108</v>
      </c>
      <c r="C21">
        <v>733</v>
      </c>
      <c r="D21">
        <f t="shared" si="0"/>
        <v>100</v>
      </c>
      <c r="E21">
        <v>130</v>
      </c>
      <c r="F21">
        <v>30</v>
      </c>
      <c r="G21">
        <f t="shared" si="1"/>
        <v>30</v>
      </c>
      <c r="H21">
        <f t="shared" si="2"/>
        <v>23.076923076923077</v>
      </c>
    </row>
    <row r="22" spans="1:8" x14ac:dyDescent="0.3">
      <c r="A22" t="s">
        <v>21</v>
      </c>
      <c r="B22" t="s">
        <v>99</v>
      </c>
      <c r="C22">
        <v>230</v>
      </c>
      <c r="D22">
        <f t="shared" si="0"/>
        <v>204.92</v>
      </c>
      <c r="E22">
        <v>250</v>
      </c>
      <c r="F22">
        <v>22</v>
      </c>
      <c r="G22">
        <f t="shared" si="1"/>
        <v>45.08</v>
      </c>
      <c r="H22">
        <f t="shared" si="2"/>
        <v>18.031999999999996</v>
      </c>
    </row>
    <row r="23" spans="1:8" x14ac:dyDescent="0.3">
      <c r="A23" t="s">
        <v>22</v>
      </c>
      <c r="B23" t="s">
        <v>110</v>
      </c>
      <c r="C23">
        <v>207</v>
      </c>
      <c r="D23">
        <f t="shared" si="0"/>
        <v>80</v>
      </c>
      <c r="E23">
        <v>100</v>
      </c>
      <c r="F23">
        <v>25</v>
      </c>
      <c r="G23">
        <f t="shared" si="1"/>
        <v>20</v>
      </c>
      <c r="H23">
        <f t="shared" si="2"/>
        <v>20</v>
      </c>
    </row>
    <row r="24" spans="1:8" x14ac:dyDescent="0.3">
      <c r="A24" t="s">
        <v>23</v>
      </c>
      <c r="B24" t="s">
        <v>99</v>
      </c>
      <c r="C24">
        <v>372</v>
      </c>
      <c r="D24">
        <f t="shared" si="0"/>
        <v>21.43</v>
      </c>
      <c r="E24">
        <v>30</v>
      </c>
      <c r="F24">
        <v>40</v>
      </c>
      <c r="G24">
        <f t="shared" si="1"/>
        <v>8.57</v>
      </c>
      <c r="H24">
        <f t="shared" si="2"/>
        <v>28.566666666666666</v>
      </c>
    </row>
    <row r="25" spans="1:8" x14ac:dyDescent="0.3">
      <c r="A25" t="s">
        <v>24</v>
      </c>
      <c r="B25" t="s">
        <v>102</v>
      </c>
      <c r="C25">
        <v>1220</v>
      </c>
      <c r="D25">
        <f t="shared" si="0"/>
        <v>180.15</v>
      </c>
      <c r="E25">
        <v>245</v>
      </c>
      <c r="F25">
        <v>36</v>
      </c>
      <c r="G25">
        <f t="shared" si="1"/>
        <v>64.849999999999994</v>
      </c>
      <c r="H25">
        <f t="shared" si="2"/>
        <v>26.469387755102037</v>
      </c>
    </row>
    <row r="26" spans="1:8" x14ac:dyDescent="0.3">
      <c r="A26" t="s">
        <v>25</v>
      </c>
      <c r="B26" t="s">
        <v>111</v>
      </c>
      <c r="C26">
        <v>301</v>
      </c>
      <c r="D26">
        <f t="shared" si="0"/>
        <v>13.33</v>
      </c>
      <c r="E26">
        <v>20</v>
      </c>
      <c r="F26">
        <v>50</v>
      </c>
      <c r="G26">
        <f t="shared" si="1"/>
        <v>6.67</v>
      </c>
      <c r="H26">
        <f t="shared" si="2"/>
        <v>33.35</v>
      </c>
    </row>
    <row r="27" spans="1:8" x14ac:dyDescent="0.3">
      <c r="A27" t="s">
        <v>26</v>
      </c>
      <c r="B27" t="s">
        <v>111</v>
      </c>
      <c r="C27">
        <v>187</v>
      </c>
      <c r="D27">
        <f t="shared" si="0"/>
        <v>35.71</v>
      </c>
      <c r="E27">
        <v>50</v>
      </c>
      <c r="F27">
        <v>40</v>
      </c>
      <c r="G27">
        <f t="shared" si="1"/>
        <v>14.29</v>
      </c>
      <c r="H27">
        <f t="shared" si="2"/>
        <v>28.58</v>
      </c>
    </row>
    <row r="28" spans="1:8" x14ac:dyDescent="0.3">
      <c r="A28" t="s">
        <v>27</v>
      </c>
      <c r="B28" t="s">
        <v>101</v>
      </c>
      <c r="C28">
        <v>914</v>
      </c>
      <c r="D28">
        <f t="shared" si="0"/>
        <v>800</v>
      </c>
      <c r="E28">
        <v>1000</v>
      </c>
      <c r="F28">
        <v>25</v>
      </c>
      <c r="G28">
        <f t="shared" si="1"/>
        <v>200</v>
      </c>
      <c r="H28">
        <f t="shared" si="2"/>
        <v>20</v>
      </c>
    </row>
    <row r="29" spans="1:8" x14ac:dyDescent="0.3">
      <c r="A29" t="s">
        <v>28</v>
      </c>
      <c r="B29" t="s">
        <v>112</v>
      </c>
      <c r="C29">
        <v>369</v>
      </c>
      <c r="D29">
        <f t="shared" si="0"/>
        <v>96</v>
      </c>
      <c r="E29">
        <v>120</v>
      </c>
      <c r="F29">
        <v>25</v>
      </c>
      <c r="G29">
        <f t="shared" si="1"/>
        <v>24</v>
      </c>
      <c r="H29">
        <f t="shared" si="2"/>
        <v>20</v>
      </c>
    </row>
    <row r="30" spans="1:8" x14ac:dyDescent="0.3">
      <c r="A30" t="s">
        <v>29</v>
      </c>
      <c r="B30" t="s">
        <v>103</v>
      </c>
      <c r="C30">
        <v>85</v>
      </c>
      <c r="D30">
        <f t="shared" si="0"/>
        <v>131.15</v>
      </c>
      <c r="E30">
        <v>160</v>
      </c>
      <c r="F30">
        <v>22</v>
      </c>
      <c r="G30">
        <f t="shared" si="1"/>
        <v>28.85</v>
      </c>
      <c r="H30">
        <f t="shared" si="2"/>
        <v>18.03125</v>
      </c>
    </row>
    <row r="31" spans="1:8" x14ac:dyDescent="0.3">
      <c r="A31" t="s">
        <v>30</v>
      </c>
      <c r="B31" t="s">
        <v>113</v>
      </c>
      <c r="C31">
        <v>524</v>
      </c>
      <c r="D31">
        <f t="shared" si="0"/>
        <v>30.43</v>
      </c>
      <c r="E31">
        <v>35</v>
      </c>
      <c r="F31">
        <v>15</v>
      </c>
      <c r="G31">
        <f t="shared" si="1"/>
        <v>4.57</v>
      </c>
      <c r="H31">
        <f t="shared" si="2"/>
        <v>13.057142857142859</v>
      </c>
    </row>
    <row r="32" spans="1:8" x14ac:dyDescent="0.3">
      <c r="A32" t="s">
        <v>31</v>
      </c>
      <c r="B32" t="s">
        <v>109</v>
      </c>
      <c r="C32">
        <v>94</v>
      </c>
      <c r="D32">
        <f t="shared" si="0"/>
        <v>48</v>
      </c>
      <c r="E32">
        <v>60</v>
      </c>
      <c r="F32">
        <v>25</v>
      </c>
      <c r="G32">
        <f t="shared" si="1"/>
        <v>12</v>
      </c>
      <c r="H32">
        <f t="shared" si="2"/>
        <v>20</v>
      </c>
    </row>
    <row r="33" spans="1:8" x14ac:dyDescent="0.3">
      <c r="A33" t="s">
        <v>32</v>
      </c>
      <c r="B33" t="s">
        <v>103</v>
      </c>
      <c r="C33">
        <v>1203</v>
      </c>
      <c r="D33">
        <f t="shared" si="0"/>
        <v>44.78</v>
      </c>
      <c r="E33">
        <v>60</v>
      </c>
      <c r="F33">
        <v>34</v>
      </c>
      <c r="G33">
        <f t="shared" si="1"/>
        <v>15.22</v>
      </c>
      <c r="H33">
        <f t="shared" si="2"/>
        <v>25.366666666666664</v>
      </c>
    </row>
    <row r="34" spans="1:8" x14ac:dyDescent="0.3">
      <c r="A34" t="s">
        <v>33</v>
      </c>
      <c r="B34" t="s">
        <v>114</v>
      </c>
      <c r="C34">
        <v>426</v>
      </c>
      <c r="D34">
        <f t="shared" si="0"/>
        <v>83.33</v>
      </c>
      <c r="E34">
        <v>150</v>
      </c>
      <c r="F34">
        <v>80</v>
      </c>
      <c r="G34">
        <f t="shared" si="1"/>
        <v>66.67</v>
      </c>
      <c r="H34">
        <f t="shared" si="2"/>
        <v>44.446666666666665</v>
      </c>
    </row>
    <row r="35" spans="1:8" x14ac:dyDescent="0.3">
      <c r="A35" t="s">
        <v>34</v>
      </c>
      <c r="B35" t="s">
        <v>101</v>
      </c>
      <c r="C35">
        <v>473</v>
      </c>
      <c r="D35">
        <f t="shared" si="0"/>
        <v>53.33</v>
      </c>
      <c r="E35">
        <v>80</v>
      </c>
      <c r="F35">
        <v>50</v>
      </c>
      <c r="G35">
        <f t="shared" si="1"/>
        <v>26.67</v>
      </c>
      <c r="H35">
        <f t="shared" si="2"/>
        <v>33.337500000000006</v>
      </c>
    </row>
    <row r="36" spans="1:8" x14ac:dyDescent="0.3">
      <c r="A36" t="s">
        <v>35</v>
      </c>
      <c r="B36" t="s">
        <v>108</v>
      </c>
      <c r="C36">
        <v>562</v>
      </c>
      <c r="D36">
        <f t="shared" si="0"/>
        <v>35.26</v>
      </c>
      <c r="E36">
        <v>55</v>
      </c>
      <c r="F36">
        <v>56</v>
      </c>
      <c r="G36">
        <f t="shared" si="1"/>
        <v>19.739999999999998</v>
      </c>
      <c r="H36">
        <f t="shared" si="2"/>
        <v>35.890909090909091</v>
      </c>
    </row>
    <row r="37" spans="1:8" x14ac:dyDescent="0.3">
      <c r="A37" t="s">
        <v>36</v>
      </c>
      <c r="B37" t="s">
        <v>98</v>
      </c>
      <c r="C37">
        <v>575</v>
      </c>
      <c r="D37">
        <f t="shared" si="0"/>
        <v>285.70999999999998</v>
      </c>
      <c r="E37">
        <v>500</v>
      </c>
      <c r="F37">
        <v>75</v>
      </c>
      <c r="G37">
        <f t="shared" si="1"/>
        <v>214.29</v>
      </c>
      <c r="H37">
        <f t="shared" si="2"/>
        <v>42.857999999999997</v>
      </c>
    </row>
    <row r="38" spans="1:8" x14ac:dyDescent="0.3">
      <c r="A38" t="s">
        <v>37</v>
      </c>
      <c r="B38" t="s">
        <v>108</v>
      </c>
      <c r="C38">
        <v>184</v>
      </c>
      <c r="D38">
        <f t="shared" si="0"/>
        <v>19.350000000000001</v>
      </c>
      <c r="E38">
        <v>30</v>
      </c>
      <c r="F38">
        <v>55</v>
      </c>
      <c r="G38">
        <f t="shared" si="1"/>
        <v>10.65</v>
      </c>
      <c r="H38">
        <f t="shared" si="2"/>
        <v>35.500000000000007</v>
      </c>
    </row>
    <row r="39" spans="1:8" x14ac:dyDescent="0.3">
      <c r="A39" t="s">
        <v>38</v>
      </c>
      <c r="B39" t="s">
        <v>103</v>
      </c>
      <c r="C39">
        <v>220</v>
      </c>
      <c r="D39">
        <f t="shared" si="0"/>
        <v>200</v>
      </c>
      <c r="E39">
        <v>300</v>
      </c>
      <c r="F39">
        <v>50</v>
      </c>
      <c r="G39">
        <f t="shared" si="1"/>
        <v>100</v>
      </c>
      <c r="H39">
        <f t="shared" si="2"/>
        <v>33.333333333333329</v>
      </c>
    </row>
    <row r="40" spans="1:8" x14ac:dyDescent="0.3">
      <c r="A40" t="s">
        <v>39</v>
      </c>
      <c r="B40" t="s">
        <v>99</v>
      </c>
      <c r="C40">
        <v>517</v>
      </c>
      <c r="D40">
        <f t="shared" si="0"/>
        <v>16.13</v>
      </c>
      <c r="E40">
        <v>20</v>
      </c>
      <c r="F40">
        <v>24</v>
      </c>
      <c r="G40">
        <f t="shared" si="1"/>
        <v>3.87</v>
      </c>
      <c r="H40">
        <f t="shared" si="2"/>
        <v>19.350000000000001</v>
      </c>
    </row>
    <row r="41" spans="1:8" x14ac:dyDescent="0.3">
      <c r="A41" t="s">
        <v>40</v>
      </c>
      <c r="B41" t="s">
        <v>97</v>
      </c>
      <c r="C41">
        <v>122</v>
      </c>
      <c r="D41">
        <f t="shared" si="0"/>
        <v>141.94</v>
      </c>
      <c r="E41">
        <v>220</v>
      </c>
      <c r="F41">
        <v>55</v>
      </c>
      <c r="G41">
        <f t="shared" si="1"/>
        <v>78.06</v>
      </c>
      <c r="H41">
        <f t="shared" si="2"/>
        <v>35.481818181818184</v>
      </c>
    </row>
    <row r="42" spans="1:8" x14ac:dyDescent="0.3">
      <c r="A42" t="s">
        <v>41</v>
      </c>
      <c r="B42" t="s">
        <v>99</v>
      </c>
      <c r="C42">
        <v>160</v>
      </c>
      <c r="D42">
        <f t="shared" si="0"/>
        <v>148.57</v>
      </c>
      <c r="E42">
        <v>260</v>
      </c>
      <c r="F42">
        <v>75</v>
      </c>
      <c r="G42">
        <f t="shared" si="1"/>
        <v>111.43</v>
      </c>
      <c r="H42">
        <f t="shared" si="2"/>
        <v>42.857692307692311</v>
      </c>
    </row>
    <row r="43" spans="1:8" x14ac:dyDescent="0.3">
      <c r="A43" t="s">
        <v>42</v>
      </c>
      <c r="B43" t="s">
        <v>97</v>
      </c>
      <c r="C43">
        <v>717</v>
      </c>
      <c r="D43">
        <f t="shared" si="0"/>
        <v>160</v>
      </c>
      <c r="E43">
        <v>400</v>
      </c>
      <c r="F43">
        <v>150</v>
      </c>
      <c r="G43">
        <f t="shared" si="1"/>
        <v>240</v>
      </c>
      <c r="H43">
        <f t="shared" si="2"/>
        <v>60</v>
      </c>
    </row>
    <row r="44" spans="1:8" x14ac:dyDescent="0.3">
      <c r="A44" t="s">
        <v>43</v>
      </c>
      <c r="B44" t="s">
        <v>112</v>
      </c>
      <c r="C44">
        <v>107</v>
      </c>
      <c r="D44">
        <f t="shared" si="0"/>
        <v>10</v>
      </c>
      <c r="E44">
        <v>14</v>
      </c>
      <c r="F44">
        <v>40</v>
      </c>
      <c r="G44">
        <f t="shared" si="1"/>
        <v>4</v>
      </c>
      <c r="H44">
        <f t="shared" si="2"/>
        <v>28.571428571428569</v>
      </c>
    </row>
    <row r="45" spans="1:8" x14ac:dyDescent="0.3">
      <c r="A45" t="s">
        <v>44</v>
      </c>
      <c r="B45" t="s">
        <v>101</v>
      </c>
      <c r="C45">
        <v>53</v>
      </c>
      <c r="D45">
        <f t="shared" si="0"/>
        <v>137.93</v>
      </c>
      <c r="E45">
        <v>200</v>
      </c>
      <c r="F45">
        <v>45</v>
      </c>
      <c r="G45">
        <f t="shared" si="1"/>
        <v>62.07</v>
      </c>
      <c r="H45">
        <f t="shared" si="2"/>
        <v>31.035</v>
      </c>
    </row>
    <row r="46" spans="1:8" x14ac:dyDescent="0.3">
      <c r="A46" t="s">
        <v>45</v>
      </c>
      <c r="B46" t="s">
        <v>101</v>
      </c>
      <c r="C46">
        <v>42</v>
      </c>
      <c r="D46">
        <f t="shared" si="0"/>
        <v>66.67</v>
      </c>
      <c r="E46">
        <v>100</v>
      </c>
      <c r="F46">
        <v>50</v>
      </c>
      <c r="G46">
        <f t="shared" si="1"/>
        <v>33.33</v>
      </c>
      <c r="H46">
        <f t="shared" si="2"/>
        <v>33.33</v>
      </c>
    </row>
    <row r="47" spans="1:8" x14ac:dyDescent="0.3">
      <c r="A47" t="s">
        <v>46</v>
      </c>
      <c r="B47" t="s">
        <v>117</v>
      </c>
      <c r="C47">
        <v>59</v>
      </c>
      <c r="D47">
        <f t="shared" si="0"/>
        <v>269.23</v>
      </c>
      <c r="E47">
        <v>350</v>
      </c>
      <c r="F47">
        <v>30</v>
      </c>
      <c r="G47">
        <f t="shared" si="1"/>
        <v>80.77</v>
      </c>
      <c r="H47">
        <f t="shared" si="2"/>
        <v>23.077142857142857</v>
      </c>
    </row>
    <row r="48" spans="1:8" x14ac:dyDescent="0.3">
      <c r="A48" t="s">
        <v>47</v>
      </c>
      <c r="B48" t="s">
        <v>97</v>
      </c>
      <c r="C48">
        <v>69</v>
      </c>
      <c r="D48">
        <f t="shared" si="0"/>
        <v>48</v>
      </c>
      <c r="E48">
        <v>60</v>
      </c>
      <c r="F48">
        <v>25</v>
      </c>
      <c r="G48">
        <f t="shared" si="1"/>
        <v>12</v>
      </c>
      <c r="H48">
        <f t="shared" si="2"/>
        <v>20</v>
      </c>
    </row>
    <row r="49" spans="1:8" x14ac:dyDescent="0.3">
      <c r="A49" t="s">
        <v>48</v>
      </c>
      <c r="B49" t="s">
        <v>99</v>
      </c>
      <c r="C49">
        <v>159</v>
      </c>
      <c r="D49">
        <f t="shared" si="0"/>
        <v>25</v>
      </c>
      <c r="E49">
        <v>30</v>
      </c>
      <c r="F49">
        <v>20</v>
      </c>
      <c r="G49">
        <f t="shared" si="1"/>
        <v>5</v>
      </c>
      <c r="H49">
        <f t="shared" si="2"/>
        <v>16.666666666666664</v>
      </c>
    </row>
    <row r="50" spans="1:8" x14ac:dyDescent="0.3">
      <c r="A50" t="s">
        <v>49</v>
      </c>
      <c r="B50" t="s">
        <v>118</v>
      </c>
      <c r="C50">
        <v>257</v>
      </c>
      <c r="D50">
        <f t="shared" si="0"/>
        <v>880</v>
      </c>
      <c r="E50">
        <v>2200</v>
      </c>
      <c r="F50">
        <v>150</v>
      </c>
      <c r="G50">
        <f t="shared" si="1"/>
        <v>1320</v>
      </c>
      <c r="H50">
        <f t="shared" si="2"/>
        <v>60</v>
      </c>
    </row>
    <row r="51" spans="1:8" x14ac:dyDescent="0.3">
      <c r="A51" t="s">
        <v>50</v>
      </c>
      <c r="B51" t="s">
        <v>119</v>
      </c>
      <c r="C51">
        <v>2843</v>
      </c>
      <c r="D51">
        <f t="shared" si="0"/>
        <v>30.36</v>
      </c>
      <c r="E51">
        <v>34</v>
      </c>
      <c r="F51">
        <v>12</v>
      </c>
      <c r="G51">
        <f t="shared" si="1"/>
        <v>3.64</v>
      </c>
      <c r="H51">
        <f t="shared" si="2"/>
        <v>10.705882352941176</v>
      </c>
    </row>
    <row r="52" spans="1:8" x14ac:dyDescent="0.3">
      <c r="A52" t="s">
        <v>51</v>
      </c>
      <c r="B52" t="s">
        <v>98</v>
      </c>
      <c r="C52">
        <v>1504</v>
      </c>
      <c r="D52">
        <f t="shared" si="0"/>
        <v>61.54</v>
      </c>
      <c r="E52">
        <v>80</v>
      </c>
      <c r="F52">
        <v>30</v>
      </c>
      <c r="G52">
        <f t="shared" si="1"/>
        <v>18.46</v>
      </c>
      <c r="H52">
        <f t="shared" si="2"/>
        <v>23.075000000000003</v>
      </c>
    </row>
    <row r="53" spans="1:8" x14ac:dyDescent="0.3">
      <c r="A53" t="s">
        <v>52</v>
      </c>
      <c r="B53" t="s">
        <v>102</v>
      </c>
      <c r="C53">
        <v>118</v>
      </c>
      <c r="D53">
        <f t="shared" si="0"/>
        <v>54.69</v>
      </c>
      <c r="E53">
        <v>70</v>
      </c>
      <c r="F53">
        <v>28</v>
      </c>
      <c r="G53">
        <f t="shared" si="1"/>
        <v>15.31</v>
      </c>
      <c r="H53">
        <f t="shared" si="2"/>
        <v>21.871428571428574</v>
      </c>
    </row>
    <row r="54" spans="1:8" x14ac:dyDescent="0.3">
      <c r="A54" t="s">
        <v>53</v>
      </c>
      <c r="B54" t="s">
        <v>120</v>
      </c>
      <c r="C54">
        <v>515</v>
      </c>
      <c r="D54">
        <f t="shared" si="0"/>
        <v>40</v>
      </c>
      <c r="E54">
        <v>50</v>
      </c>
      <c r="F54">
        <v>25</v>
      </c>
      <c r="G54">
        <f t="shared" si="1"/>
        <v>10</v>
      </c>
      <c r="H54">
        <f t="shared" si="2"/>
        <v>20</v>
      </c>
    </row>
    <row r="55" spans="1:8" x14ac:dyDescent="0.3">
      <c r="A55" t="s">
        <v>54</v>
      </c>
      <c r="B55" t="s">
        <v>108</v>
      </c>
      <c r="C55">
        <v>156</v>
      </c>
      <c r="D55">
        <f t="shared" si="0"/>
        <v>142.86000000000001</v>
      </c>
      <c r="E55">
        <v>250</v>
      </c>
      <c r="F55">
        <v>75</v>
      </c>
      <c r="G55">
        <f t="shared" si="1"/>
        <v>107.14</v>
      </c>
      <c r="H55">
        <f t="shared" si="2"/>
        <v>42.856000000000002</v>
      </c>
    </row>
    <row r="56" spans="1:8" x14ac:dyDescent="0.3">
      <c r="A56" t="s">
        <v>55</v>
      </c>
      <c r="B56" t="s">
        <v>121</v>
      </c>
      <c r="C56">
        <v>276</v>
      </c>
      <c r="D56">
        <f t="shared" si="0"/>
        <v>517.65</v>
      </c>
      <c r="E56">
        <v>880</v>
      </c>
      <c r="F56">
        <v>70</v>
      </c>
      <c r="G56">
        <f t="shared" si="1"/>
        <v>362.35</v>
      </c>
      <c r="H56">
        <f t="shared" si="2"/>
        <v>41.176136363636367</v>
      </c>
    </row>
    <row r="57" spans="1:8" x14ac:dyDescent="0.3">
      <c r="A57" t="s">
        <v>56</v>
      </c>
      <c r="B57" t="s">
        <v>97</v>
      </c>
      <c r="C57">
        <v>306</v>
      </c>
      <c r="D57">
        <f t="shared" si="0"/>
        <v>26.79</v>
      </c>
      <c r="E57">
        <v>30</v>
      </c>
      <c r="F57">
        <v>12</v>
      </c>
      <c r="G57">
        <f t="shared" si="1"/>
        <v>3.21</v>
      </c>
      <c r="H57">
        <f t="shared" si="2"/>
        <v>10.7</v>
      </c>
    </row>
    <row r="58" spans="1:8" x14ac:dyDescent="0.3">
      <c r="A58" t="s">
        <v>57</v>
      </c>
      <c r="B58" t="s">
        <v>103</v>
      </c>
      <c r="C58">
        <v>149</v>
      </c>
      <c r="D58">
        <f t="shared" si="0"/>
        <v>164.29</v>
      </c>
      <c r="E58">
        <v>230</v>
      </c>
      <c r="F58">
        <v>40</v>
      </c>
      <c r="G58">
        <f t="shared" si="1"/>
        <v>65.709999999999994</v>
      </c>
      <c r="H58">
        <f t="shared" si="2"/>
        <v>28.5695652173913</v>
      </c>
    </row>
    <row r="59" spans="1:8" x14ac:dyDescent="0.3">
      <c r="A59" t="s">
        <v>58</v>
      </c>
      <c r="B59" t="s">
        <v>101</v>
      </c>
      <c r="C59">
        <v>16</v>
      </c>
      <c r="D59">
        <f t="shared" si="0"/>
        <v>180.72</v>
      </c>
      <c r="E59">
        <v>300</v>
      </c>
      <c r="F59">
        <v>66</v>
      </c>
      <c r="G59">
        <f t="shared" si="1"/>
        <v>119.28</v>
      </c>
      <c r="H59">
        <f t="shared" si="2"/>
        <v>39.76</v>
      </c>
    </row>
    <row r="60" spans="1:8" x14ac:dyDescent="0.3">
      <c r="A60" t="s">
        <v>59</v>
      </c>
      <c r="B60" t="s">
        <v>97</v>
      </c>
      <c r="C60">
        <v>128</v>
      </c>
      <c r="D60">
        <f t="shared" si="0"/>
        <v>171.43</v>
      </c>
      <c r="E60">
        <v>240</v>
      </c>
      <c r="F60">
        <v>40</v>
      </c>
      <c r="G60">
        <f t="shared" si="1"/>
        <v>68.569999999999993</v>
      </c>
      <c r="H60">
        <f t="shared" si="2"/>
        <v>28.570833333333329</v>
      </c>
    </row>
    <row r="61" spans="1:8" x14ac:dyDescent="0.3">
      <c r="A61" t="s">
        <v>60</v>
      </c>
      <c r="B61" t="s">
        <v>108</v>
      </c>
      <c r="C61">
        <v>806</v>
      </c>
      <c r="D61">
        <f t="shared" si="0"/>
        <v>58.67</v>
      </c>
      <c r="E61">
        <v>88</v>
      </c>
      <c r="F61">
        <v>50</v>
      </c>
      <c r="G61">
        <f t="shared" si="1"/>
        <v>29.33</v>
      </c>
      <c r="H61">
        <f t="shared" si="2"/>
        <v>33.329545454545453</v>
      </c>
    </row>
    <row r="62" spans="1:8" x14ac:dyDescent="0.3">
      <c r="A62" t="s">
        <v>61</v>
      </c>
      <c r="B62" t="s">
        <v>103</v>
      </c>
      <c r="C62">
        <v>148</v>
      </c>
      <c r="D62">
        <f t="shared" si="0"/>
        <v>70.87</v>
      </c>
      <c r="E62">
        <v>90</v>
      </c>
      <c r="F62">
        <v>27</v>
      </c>
      <c r="G62">
        <f t="shared" si="1"/>
        <v>19.13</v>
      </c>
      <c r="H62">
        <f t="shared" si="2"/>
        <v>21.255555555555556</v>
      </c>
    </row>
    <row r="63" spans="1:8" x14ac:dyDescent="0.3">
      <c r="A63" t="s">
        <v>62</v>
      </c>
      <c r="B63" t="s">
        <v>99</v>
      </c>
      <c r="C63">
        <v>876</v>
      </c>
      <c r="D63">
        <f t="shared" si="0"/>
        <v>62.5</v>
      </c>
      <c r="E63">
        <v>100</v>
      </c>
      <c r="F63">
        <v>60</v>
      </c>
      <c r="G63">
        <f t="shared" si="1"/>
        <v>37.5</v>
      </c>
      <c r="H63">
        <f t="shared" si="2"/>
        <v>37.5</v>
      </c>
    </row>
    <row r="64" spans="1:8" x14ac:dyDescent="0.3">
      <c r="A64" t="s">
        <v>63</v>
      </c>
      <c r="B64" t="s">
        <v>98</v>
      </c>
      <c r="C64">
        <v>1013</v>
      </c>
      <c r="D64">
        <f t="shared" si="0"/>
        <v>42.31</v>
      </c>
      <c r="E64">
        <v>55</v>
      </c>
      <c r="F64">
        <v>30</v>
      </c>
      <c r="G64">
        <f t="shared" si="1"/>
        <v>12.69</v>
      </c>
      <c r="H64">
        <f t="shared" si="2"/>
        <v>23.072727272727274</v>
      </c>
    </row>
    <row r="65" spans="1:8" x14ac:dyDescent="0.3">
      <c r="A65" t="s">
        <v>64</v>
      </c>
      <c r="B65" t="s">
        <v>116</v>
      </c>
      <c r="C65">
        <v>406</v>
      </c>
      <c r="D65">
        <f t="shared" si="0"/>
        <v>500</v>
      </c>
      <c r="E65">
        <v>700</v>
      </c>
      <c r="F65">
        <v>40</v>
      </c>
      <c r="G65">
        <f t="shared" si="1"/>
        <v>200</v>
      </c>
      <c r="H65">
        <f t="shared" si="2"/>
        <v>28.571428571428569</v>
      </c>
    </row>
    <row r="66" spans="1:8" x14ac:dyDescent="0.3">
      <c r="A66" t="s">
        <v>65</v>
      </c>
      <c r="B66" t="s">
        <v>101</v>
      </c>
      <c r="C66">
        <v>176</v>
      </c>
      <c r="D66">
        <f t="shared" si="0"/>
        <v>344.83</v>
      </c>
      <c r="E66">
        <v>500</v>
      </c>
      <c r="F66">
        <v>45</v>
      </c>
      <c r="G66">
        <f t="shared" si="1"/>
        <v>155.16999999999999</v>
      </c>
      <c r="H66">
        <f t="shared" si="2"/>
        <v>31.033999999999995</v>
      </c>
    </row>
    <row r="67" spans="1:8" x14ac:dyDescent="0.3">
      <c r="A67" t="s">
        <v>66</v>
      </c>
      <c r="B67" t="s">
        <v>97</v>
      </c>
      <c r="C67">
        <v>818</v>
      </c>
      <c r="D67">
        <f t="shared" ref="D67:D91" si="3" xml:space="preserve"> ROUND(E67 * 100 / (100 + F67), 2)</f>
        <v>30.43</v>
      </c>
      <c r="E67">
        <v>35</v>
      </c>
      <c r="F67">
        <v>15</v>
      </c>
      <c r="G67">
        <f t="shared" ref="G67:G91" si="4" xml:space="preserve"> ROUND(E67 - D67, 2)</f>
        <v>4.57</v>
      </c>
      <c r="H67">
        <f t="shared" ref="H67:H91" si="5" xml:space="preserve"> G67 / E67 * 100</f>
        <v>13.057142857142859</v>
      </c>
    </row>
    <row r="68" spans="1:8" x14ac:dyDescent="0.3">
      <c r="A68" t="s">
        <v>67</v>
      </c>
      <c r="B68" t="s">
        <v>99</v>
      </c>
      <c r="C68">
        <v>23</v>
      </c>
      <c r="D68">
        <f t="shared" si="3"/>
        <v>39.06</v>
      </c>
      <c r="E68">
        <v>50</v>
      </c>
      <c r="F68">
        <v>28</v>
      </c>
      <c r="G68">
        <f t="shared" si="4"/>
        <v>10.94</v>
      </c>
      <c r="H68">
        <f t="shared" si="5"/>
        <v>21.88</v>
      </c>
    </row>
    <row r="69" spans="1:8" x14ac:dyDescent="0.3">
      <c r="A69" t="s">
        <v>68</v>
      </c>
      <c r="B69" t="s">
        <v>122</v>
      </c>
      <c r="C69">
        <v>189</v>
      </c>
      <c r="D69">
        <f t="shared" si="3"/>
        <v>80.989999999999995</v>
      </c>
      <c r="E69">
        <v>115</v>
      </c>
      <c r="F69">
        <v>42</v>
      </c>
      <c r="G69">
        <f t="shared" si="4"/>
        <v>34.01</v>
      </c>
      <c r="H69">
        <f t="shared" si="5"/>
        <v>29.57391304347826</v>
      </c>
    </row>
    <row r="70" spans="1:8" x14ac:dyDescent="0.3">
      <c r="A70" t="s">
        <v>69</v>
      </c>
      <c r="B70" t="s">
        <v>97</v>
      </c>
      <c r="C70">
        <v>121</v>
      </c>
      <c r="D70">
        <f t="shared" si="3"/>
        <v>500</v>
      </c>
      <c r="E70">
        <v>700</v>
      </c>
      <c r="F70">
        <v>40</v>
      </c>
      <c r="G70">
        <f t="shared" si="4"/>
        <v>200</v>
      </c>
      <c r="H70">
        <f t="shared" si="5"/>
        <v>28.571428571428569</v>
      </c>
    </row>
    <row r="71" spans="1:8" x14ac:dyDescent="0.3">
      <c r="A71" t="s">
        <v>70</v>
      </c>
      <c r="B71" t="s">
        <v>115</v>
      </c>
      <c r="C71">
        <v>316</v>
      </c>
      <c r="D71">
        <f t="shared" si="3"/>
        <v>384.62</v>
      </c>
      <c r="E71">
        <v>500</v>
      </c>
      <c r="F71">
        <v>30</v>
      </c>
      <c r="G71">
        <f t="shared" si="4"/>
        <v>115.38</v>
      </c>
      <c r="H71">
        <f t="shared" si="5"/>
        <v>23.076000000000001</v>
      </c>
    </row>
    <row r="72" spans="1:8" x14ac:dyDescent="0.3">
      <c r="A72" t="s">
        <v>71</v>
      </c>
      <c r="B72" t="s">
        <v>97</v>
      </c>
      <c r="C72">
        <v>106</v>
      </c>
      <c r="D72">
        <f t="shared" si="3"/>
        <v>26.09</v>
      </c>
      <c r="E72">
        <v>30</v>
      </c>
      <c r="F72">
        <v>15</v>
      </c>
      <c r="G72">
        <f t="shared" si="4"/>
        <v>3.91</v>
      </c>
      <c r="H72">
        <f t="shared" si="5"/>
        <v>13.033333333333333</v>
      </c>
    </row>
    <row r="73" spans="1:8" x14ac:dyDescent="0.3">
      <c r="A73" t="s">
        <v>72</v>
      </c>
      <c r="B73" t="s">
        <v>123</v>
      </c>
      <c r="C73">
        <v>383</v>
      </c>
      <c r="D73">
        <f t="shared" si="3"/>
        <v>78.13</v>
      </c>
      <c r="E73">
        <v>125</v>
      </c>
      <c r="F73">
        <v>60</v>
      </c>
      <c r="G73">
        <f t="shared" si="4"/>
        <v>46.87</v>
      </c>
      <c r="H73">
        <f t="shared" si="5"/>
        <v>37.495999999999995</v>
      </c>
    </row>
    <row r="74" spans="1:8" x14ac:dyDescent="0.3">
      <c r="A74" t="s">
        <v>73</v>
      </c>
      <c r="B74" t="s">
        <v>123</v>
      </c>
      <c r="C74">
        <v>97</v>
      </c>
      <c r="D74">
        <f t="shared" si="3"/>
        <v>100</v>
      </c>
      <c r="E74">
        <v>150</v>
      </c>
      <c r="F74">
        <v>50</v>
      </c>
      <c r="G74">
        <f t="shared" si="4"/>
        <v>50</v>
      </c>
      <c r="H74">
        <f t="shared" si="5"/>
        <v>33.333333333333329</v>
      </c>
    </row>
    <row r="75" spans="1:8" x14ac:dyDescent="0.3">
      <c r="A75" t="s">
        <v>74</v>
      </c>
      <c r="B75" t="s">
        <v>124</v>
      </c>
      <c r="C75">
        <v>1081</v>
      </c>
      <c r="D75">
        <f t="shared" si="3"/>
        <v>250</v>
      </c>
      <c r="E75">
        <v>300</v>
      </c>
      <c r="F75">
        <v>20</v>
      </c>
      <c r="G75">
        <f t="shared" si="4"/>
        <v>50</v>
      </c>
      <c r="H75">
        <f t="shared" si="5"/>
        <v>16.666666666666664</v>
      </c>
    </row>
    <row r="76" spans="1:8" x14ac:dyDescent="0.3">
      <c r="A76" t="s">
        <v>75</v>
      </c>
      <c r="B76" t="s">
        <v>99</v>
      </c>
      <c r="C76">
        <v>30</v>
      </c>
      <c r="D76">
        <f t="shared" si="3"/>
        <v>32.520000000000003</v>
      </c>
      <c r="E76">
        <v>40</v>
      </c>
      <c r="F76">
        <v>23</v>
      </c>
      <c r="G76">
        <f t="shared" si="4"/>
        <v>7.48</v>
      </c>
      <c r="H76">
        <f t="shared" si="5"/>
        <v>18.7</v>
      </c>
    </row>
    <row r="77" spans="1:8" x14ac:dyDescent="0.3">
      <c r="A77" t="s">
        <v>76</v>
      </c>
      <c r="B77" t="s">
        <v>125</v>
      </c>
      <c r="C77">
        <v>41</v>
      </c>
      <c r="D77">
        <f t="shared" si="3"/>
        <v>23.44</v>
      </c>
      <c r="E77">
        <v>30</v>
      </c>
      <c r="F77">
        <v>28</v>
      </c>
      <c r="G77">
        <f t="shared" si="4"/>
        <v>6.56</v>
      </c>
      <c r="H77">
        <f t="shared" si="5"/>
        <v>21.866666666666664</v>
      </c>
    </row>
    <row r="78" spans="1:8" x14ac:dyDescent="0.3">
      <c r="A78" t="s">
        <v>77</v>
      </c>
      <c r="B78" t="s">
        <v>126</v>
      </c>
      <c r="C78">
        <v>1716</v>
      </c>
      <c r="D78">
        <f t="shared" si="3"/>
        <v>34.090000000000003</v>
      </c>
      <c r="E78">
        <v>45</v>
      </c>
      <c r="F78">
        <v>32</v>
      </c>
      <c r="G78">
        <f t="shared" si="4"/>
        <v>10.91</v>
      </c>
      <c r="H78">
        <f t="shared" si="5"/>
        <v>24.244444444444444</v>
      </c>
    </row>
    <row r="79" spans="1:8" x14ac:dyDescent="0.3">
      <c r="A79" t="s">
        <v>78</v>
      </c>
      <c r="B79" t="s">
        <v>122</v>
      </c>
      <c r="C79">
        <v>111</v>
      </c>
      <c r="D79">
        <f t="shared" si="3"/>
        <v>48</v>
      </c>
      <c r="E79">
        <v>60</v>
      </c>
      <c r="F79">
        <v>25</v>
      </c>
      <c r="G79">
        <f t="shared" si="4"/>
        <v>12</v>
      </c>
      <c r="H79">
        <f t="shared" si="5"/>
        <v>20</v>
      </c>
    </row>
    <row r="80" spans="1:8" x14ac:dyDescent="0.3">
      <c r="A80" t="s">
        <v>79</v>
      </c>
      <c r="B80" t="s">
        <v>108</v>
      </c>
      <c r="C80">
        <v>705</v>
      </c>
      <c r="D80">
        <f t="shared" si="3"/>
        <v>80.650000000000006</v>
      </c>
      <c r="E80">
        <v>100</v>
      </c>
      <c r="F80">
        <v>24</v>
      </c>
      <c r="G80">
        <f t="shared" si="4"/>
        <v>19.350000000000001</v>
      </c>
      <c r="H80">
        <f t="shared" si="5"/>
        <v>19.350000000000001</v>
      </c>
    </row>
    <row r="81" spans="1:8" x14ac:dyDescent="0.3">
      <c r="A81" t="s">
        <v>80</v>
      </c>
      <c r="B81" t="s">
        <v>99</v>
      </c>
      <c r="C81">
        <v>238</v>
      </c>
      <c r="D81">
        <f t="shared" si="3"/>
        <v>35.71</v>
      </c>
      <c r="E81">
        <v>50</v>
      </c>
      <c r="F81">
        <v>40</v>
      </c>
      <c r="G81">
        <f t="shared" si="4"/>
        <v>14.29</v>
      </c>
      <c r="H81">
        <f t="shared" si="5"/>
        <v>28.58</v>
      </c>
    </row>
    <row r="82" spans="1:8" x14ac:dyDescent="0.3">
      <c r="A82" t="s">
        <v>81</v>
      </c>
      <c r="B82" t="s">
        <v>108</v>
      </c>
      <c r="C82">
        <v>199</v>
      </c>
      <c r="D82">
        <f t="shared" si="3"/>
        <v>88.89</v>
      </c>
      <c r="E82">
        <v>120</v>
      </c>
      <c r="F82">
        <v>35</v>
      </c>
      <c r="G82">
        <f t="shared" si="4"/>
        <v>31.11</v>
      </c>
      <c r="H82">
        <f t="shared" si="5"/>
        <v>25.924999999999997</v>
      </c>
    </row>
    <row r="83" spans="1:8" x14ac:dyDescent="0.3">
      <c r="A83" t="s">
        <v>82</v>
      </c>
      <c r="B83" t="s">
        <v>108</v>
      </c>
      <c r="C83">
        <v>815</v>
      </c>
      <c r="D83">
        <f t="shared" si="3"/>
        <v>92.86</v>
      </c>
      <c r="E83">
        <v>130</v>
      </c>
      <c r="F83">
        <v>40</v>
      </c>
      <c r="G83">
        <f t="shared" si="4"/>
        <v>37.14</v>
      </c>
      <c r="H83">
        <f t="shared" si="5"/>
        <v>28.569230769230771</v>
      </c>
    </row>
    <row r="84" spans="1:8" x14ac:dyDescent="0.3">
      <c r="A84" t="s">
        <v>83</v>
      </c>
      <c r="B84" t="s">
        <v>115</v>
      </c>
      <c r="C84">
        <v>334</v>
      </c>
      <c r="D84">
        <f t="shared" si="3"/>
        <v>116.67</v>
      </c>
      <c r="E84">
        <v>140</v>
      </c>
      <c r="F84">
        <v>20</v>
      </c>
      <c r="G84">
        <f t="shared" si="4"/>
        <v>23.33</v>
      </c>
      <c r="H84">
        <f t="shared" si="5"/>
        <v>16.664285714285711</v>
      </c>
    </row>
    <row r="85" spans="1:8" x14ac:dyDescent="0.3">
      <c r="A85" t="s">
        <v>84</v>
      </c>
      <c r="B85" t="s">
        <v>97</v>
      </c>
      <c r="C85">
        <v>574</v>
      </c>
      <c r="D85">
        <f t="shared" si="3"/>
        <v>321.43</v>
      </c>
      <c r="E85">
        <v>450</v>
      </c>
      <c r="F85">
        <v>40</v>
      </c>
      <c r="G85">
        <f t="shared" si="4"/>
        <v>128.57</v>
      </c>
      <c r="H85">
        <f t="shared" si="5"/>
        <v>28.571111111111108</v>
      </c>
    </row>
    <row r="86" spans="1:8" x14ac:dyDescent="0.3">
      <c r="A86" t="s">
        <v>85</v>
      </c>
      <c r="B86" t="s">
        <v>97</v>
      </c>
      <c r="C86">
        <v>259</v>
      </c>
      <c r="D86">
        <f t="shared" si="3"/>
        <v>34.78</v>
      </c>
      <c r="E86">
        <v>40</v>
      </c>
      <c r="F86">
        <v>15</v>
      </c>
      <c r="G86">
        <f t="shared" si="4"/>
        <v>5.22</v>
      </c>
      <c r="H86">
        <f t="shared" si="5"/>
        <v>13.05</v>
      </c>
    </row>
    <row r="87" spans="1:8" x14ac:dyDescent="0.3">
      <c r="A87" t="s">
        <v>86</v>
      </c>
      <c r="B87" t="s">
        <v>123</v>
      </c>
      <c r="C87">
        <v>765</v>
      </c>
      <c r="D87">
        <f t="shared" si="3"/>
        <v>142.86000000000001</v>
      </c>
      <c r="E87">
        <v>200</v>
      </c>
      <c r="F87">
        <v>40</v>
      </c>
      <c r="G87">
        <f t="shared" si="4"/>
        <v>57.14</v>
      </c>
      <c r="H87">
        <f t="shared" si="5"/>
        <v>28.57</v>
      </c>
    </row>
    <row r="88" spans="1:8" x14ac:dyDescent="0.3">
      <c r="A88" t="s">
        <v>87</v>
      </c>
      <c r="B88" t="s">
        <v>99</v>
      </c>
      <c r="C88">
        <v>1164</v>
      </c>
      <c r="D88">
        <f t="shared" si="3"/>
        <v>35.71</v>
      </c>
      <c r="E88">
        <v>50</v>
      </c>
      <c r="F88">
        <v>40</v>
      </c>
      <c r="G88">
        <f t="shared" si="4"/>
        <v>14.29</v>
      </c>
      <c r="H88">
        <f t="shared" si="5"/>
        <v>28.58</v>
      </c>
    </row>
    <row r="89" spans="1:8" x14ac:dyDescent="0.3">
      <c r="A89" t="s">
        <v>88</v>
      </c>
      <c r="B89" t="s">
        <v>119</v>
      </c>
      <c r="C89">
        <v>64</v>
      </c>
      <c r="D89">
        <f t="shared" si="3"/>
        <v>25</v>
      </c>
      <c r="E89">
        <v>30</v>
      </c>
      <c r="F89">
        <v>20</v>
      </c>
      <c r="G89">
        <f t="shared" si="4"/>
        <v>5</v>
      </c>
      <c r="H89">
        <f t="shared" si="5"/>
        <v>16.666666666666664</v>
      </c>
    </row>
    <row r="90" spans="1:8" x14ac:dyDescent="0.3">
      <c r="A90" t="s">
        <v>89</v>
      </c>
      <c r="B90" t="s">
        <v>106</v>
      </c>
      <c r="C90">
        <v>378</v>
      </c>
      <c r="D90">
        <f t="shared" si="3"/>
        <v>117.65</v>
      </c>
      <c r="E90">
        <v>200</v>
      </c>
      <c r="F90">
        <v>70</v>
      </c>
      <c r="G90">
        <f t="shared" si="4"/>
        <v>82.35</v>
      </c>
      <c r="H90">
        <f t="shared" si="5"/>
        <v>41.174999999999997</v>
      </c>
    </row>
    <row r="91" spans="1:8" x14ac:dyDescent="0.3">
      <c r="A91" t="s">
        <v>90</v>
      </c>
      <c r="B91" t="s">
        <v>113</v>
      </c>
      <c r="C91">
        <v>1372</v>
      </c>
      <c r="D91">
        <f t="shared" si="3"/>
        <v>37.04</v>
      </c>
      <c r="E91">
        <v>50</v>
      </c>
      <c r="F91">
        <v>35</v>
      </c>
      <c r="G91">
        <f t="shared" si="4"/>
        <v>12.96</v>
      </c>
      <c r="H91">
        <f t="shared" si="5"/>
        <v>25.920000000000005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Pathik Shah</cp:lastModifiedBy>
  <dcterms:created xsi:type="dcterms:W3CDTF">2025-09-04T08:32:26Z</dcterms:created>
  <dcterms:modified xsi:type="dcterms:W3CDTF">2025-09-04T14:12:13Z</dcterms:modified>
</cp:coreProperties>
</file>